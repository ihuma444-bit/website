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Summary_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Cost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'Summary_Dashboard'!B2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'Summary_Dashboard'!$A$3:$A$5</f>
            </numRef>
          </cat>
          <val>
            <numRef>
              <f>'Summary_Dashboard'!$B$3:$B$5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 Name</t>
        </is>
      </c>
      <c r="C1" s="1" t="inlineStr">
        <is>
          <t>Monthly Cost (USD)</t>
        </is>
      </c>
      <c r="D1" s="1" t="inlineStr">
        <is>
          <t>Department</t>
        </is>
      </c>
      <c r="E1" s="1" t="inlineStr">
        <is>
          <t>Status</t>
        </is>
      </c>
    </row>
    <row r="2">
      <c r="A2" t="inlineStr">
        <is>
          <t>Project</t>
        </is>
      </c>
      <c r="B2" t="inlineStr">
        <is>
          <t>Website Development</t>
        </is>
      </c>
      <c r="C2" t="n">
        <v>1200</v>
      </c>
      <c r="D2" t="inlineStr">
        <is>
          <t>IT</t>
        </is>
      </c>
      <c r="E2" t="inlineStr">
        <is>
          <t>Active</t>
        </is>
      </c>
    </row>
    <row r="3">
      <c r="A3" t="inlineStr">
        <is>
          <t>Project</t>
        </is>
      </c>
      <c r="B3" t="inlineStr">
        <is>
          <t>Mobile App</t>
        </is>
      </c>
      <c r="C3" t="n">
        <v>1800</v>
      </c>
      <c r="D3" t="inlineStr">
        <is>
          <t>IT</t>
        </is>
      </c>
      <c r="E3" t="inlineStr">
        <is>
          <t>Active</t>
        </is>
      </c>
    </row>
    <row r="4">
      <c r="A4" t="inlineStr">
        <is>
          <t>Salary</t>
        </is>
      </c>
      <c r="B4" t="inlineStr">
        <is>
          <t>CEO</t>
        </is>
      </c>
      <c r="C4" t="n">
        <v>2500</v>
      </c>
      <c r="D4" t="inlineStr">
        <is>
          <t>Management</t>
        </is>
      </c>
      <c r="E4" t="inlineStr">
        <is>
          <t>Active</t>
        </is>
      </c>
    </row>
    <row r="5">
      <c r="A5" t="inlineStr">
        <is>
          <t>Salary</t>
        </is>
      </c>
      <c r="B5" t="inlineStr">
        <is>
          <t>Developer</t>
        </is>
      </c>
      <c r="C5" t="n">
        <v>2000</v>
      </c>
      <c r="D5" t="inlineStr">
        <is>
          <t>IT</t>
        </is>
      </c>
      <c r="E5" t="inlineStr">
        <is>
          <t>Active</t>
        </is>
      </c>
    </row>
    <row r="6">
      <c r="A6" t="inlineStr">
        <is>
          <t>Salary</t>
        </is>
      </c>
      <c r="B6" t="inlineStr">
        <is>
          <t>Designer</t>
        </is>
      </c>
      <c r="C6" t="n">
        <v>1500</v>
      </c>
      <c r="D6" t="inlineStr">
        <is>
          <t>Design</t>
        </is>
      </c>
      <c r="E6" t="inlineStr">
        <is>
          <t>Active</t>
        </is>
      </c>
    </row>
    <row r="7">
      <c r="A7" t="inlineStr">
        <is>
          <t>Service</t>
        </is>
      </c>
      <c r="B7" t="inlineStr">
        <is>
          <t>Cloud Hosting</t>
        </is>
      </c>
      <c r="C7" t="n">
        <v>400</v>
      </c>
      <c r="D7" t="inlineStr">
        <is>
          <t>IT</t>
        </is>
      </c>
      <c r="E7" t="inlineStr">
        <is>
          <t>Active</t>
        </is>
      </c>
    </row>
    <row r="8">
      <c r="A8" t="inlineStr">
        <is>
          <t>Service</t>
        </is>
      </c>
      <c r="B8" t="inlineStr">
        <is>
          <t>Marketing Tools</t>
        </is>
      </c>
      <c r="C8" t="n">
        <v>300</v>
      </c>
      <c r="D8" t="inlineStr">
        <is>
          <t>Marketing</t>
        </is>
      </c>
      <c r="E8" t="inlineStr">
        <is>
          <t>Inactive</t>
        </is>
      </c>
    </row>
  </sheetData>
  <dataValidations count="1">
    <dataValidation sqref="E2:E20" showDropDown="0" showInputMessage="0" showErrorMessage="0" allowBlank="0" type="list">
      <formula1>"Active,Inactive"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Cost</t>
        </is>
      </c>
      <c r="C1" s="1" t="inlineStr">
        <is>
          <t>Average Cost</t>
        </is>
      </c>
      <c r="D1" s="1" t="inlineStr">
        <is>
          <t>Active Count</t>
        </is>
      </c>
    </row>
    <row r="2">
      <c r="A2" t="inlineStr">
        <is>
          <t>Project</t>
        </is>
      </c>
      <c r="B2">
        <f>SUMIF(Raw_Data!A:A,"Project",Raw_Data!C:C)</f>
        <v/>
      </c>
      <c r="C2">
        <f>AVERAGEIF(Raw_Data!A:A,"Project",Raw_Data!C:C)</f>
        <v/>
      </c>
      <c r="D2">
        <f>COUNTIFS(Raw_Data!A:A,"Project",Raw_Data!E:E,"Active")</f>
        <v/>
      </c>
    </row>
    <row r="3">
      <c r="A3" t="inlineStr">
        <is>
          <t>Salary</t>
        </is>
      </c>
      <c r="B3">
        <f>SUMIF(Raw_Data!A:A,"Salary",Raw_Data!C:C)</f>
        <v/>
      </c>
      <c r="C3">
        <f>AVERAGEIF(Raw_Data!A:A,"Salary",Raw_Data!C:C)</f>
        <v/>
      </c>
      <c r="D3">
        <f>COUNTIFS(Raw_Data!A:A,"Salary",Raw_Data!E:E,"Active")</f>
        <v/>
      </c>
    </row>
    <row r="4">
      <c r="A4" t="inlineStr">
        <is>
          <t>Service</t>
        </is>
      </c>
      <c r="B4">
        <f>SUMIF(Raw_Data!A:A,"Service",Raw_Data!C:C)</f>
        <v/>
      </c>
      <c r="C4">
        <f>AVERAGEIF(Raw_Data!A:A,"Service",Raw_Data!C:C)</f>
        <v/>
      </c>
      <c r="D4">
        <f>COUNTIFS(Raw_Data!A:A,"Service",Raw_Data!E:E,"Active")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Cost Summary by Category</t>
        </is>
      </c>
    </row>
    <row r="2">
      <c r="A2" s="1" t="inlineStr">
        <is>
          <t>Category</t>
        </is>
      </c>
      <c r="B2" s="1" t="inlineStr">
        <is>
          <t>Total Cost</t>
        </is>
      </c>
    </row>
    <row r="3">
      <c r="A3" t="inlineStr">
        <is>
          <t>Project</t>
        </is>
      </c>
      <c r="B3">
        <f>Calculations!B2</f>
        <v/>
      </c>
    </row>
    <row r="4">
      <c r="A4" t="inlineStr">
        <is>
          <t>Salary</t>
        </is>
      </c>
      <c r="B4">
        <f>Calculations!B3</f>
        <v/>
      </c>
    </row>
    <row r="5">
      <c r="A5" t="inlineStr">
        <is>
          <t>Service</t>
        </is>
      </c>
      <c r="B5">
        <f>Calculations!B4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2026-01-04T05:59:06Z</dcterms:created>
  <dcterms:modified xmlns:dcterms="http://purl.org/dc/terms/" xmlns:xsi="http://www.w3.org/2001/XMLSchema-instance" xsi:type="dcterms:W3CDTF">2026-01-04T05:59:06Z</dcterms:modified>
</cp:coreProperties>
</file>